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i unidad\CONGRESO-26_CMMSE\CMMSE-Procesado-QEPAS\Datos-en-bruto\Medidas-para-calibracion\"/>
    </mc:Choice>
  </mc:AlternateContent>
  <xr:revisionPtr revIDLastSave="0" documentId="13_ncr:1_{3A2705DA-F3F2-48A4-9ECD-10A4CAE16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<sst xmlns="http://schemas.openxmlformats.org/spreadsheetml/2006/main" count="8" uniqueCount="8">
  <si>
    <t>Flujo BC</t>
  </si>
  <si>
    <t>Flujo N2</t>
  </si>
  <si>
    <t>Conc 13CO2</t>
  </si>
  <si>
    <t>Conc 12CO2</t>
  </si>
  <si>
    <t>Hora</t>
  </si>
  <si>
    <t>Condiciones:</t>
  </si>
  <si>
    <t>Medidas realizadas diluyendo la botella de CO2 calibrada -&gt; Conocemos la concentración de 12CO2 y de 13CO2</t>
  </si>
  <si>
    <t>(ver datos adicionales en carpetas)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</si>
</sst>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:ss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Proyecto_AIRTEC-2/Contrato_Africa-Lardies/Archivos%20&#193;frica/Archivos%20de%20inter&#233;s/measurement+comentarios+medidas/medida2_calibracion_flujo_cte/calculos_barrido_concentraciones_flujo_c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regresion13"/>
      <sheetName val="regresion12"/>
      <sheetName val="promedios_50mas70"/>
      <sheetName val="promedios60mas60"/>
      <sheetName val="promedios_0mas120"/>
      <sheetName val="promedios_10mas110"/>
      <sheetName val="promedios_20mas100"/>
      <sheetName val="promedios_30mas90"/>
      <sheetName val="promedios_40mas80"/>
    </sheetNames>
    <sheetDataSet>
      <sheetData sheetId="0">
        <row r="3">
          <cell r="C3">
            <v>0</v>
          </cell>
          <cell r="H3">
            <v>1.2223042891420499E-3</v>
          </cell>
          <cell r="I3">
            <v>1.6469527866761399E-3</v>
          </cell>
          <cell r="J3">
            <v>0.74216109838150834</v>
          </cell>
        </row>
        <row r="4">
          <cell r="C4">
            <v>25</v>
          </cell>
          <cell r="H4">
            <v>1.0171924486949799E-3</v>
          </cell>
          <cell r="I4">
            <v>1.4414582594803201E-3</v>
          </cell>
          <cell r="J4">
            <v>0.70566902787854702</v>
          </cell>
        </row>
        <row r="5">
          <cell r="C5">
            <v>50</v>
          </cell>
          <cell r="H5">
            <v>9.7249162014863505E-4</v>
          </cell>
          <cell r="I5">
            <v>1.4426996485981201E-3</v>
          </cell>
          <cell r="J5">
            <v>0.67407767174103839</v>
          </cell>
        </row>
        <row r="6">
          <cell r="C6">
            <v>75</v>
          </cell>
          <cell r="H6">
            <v>8.8117373953295697E-4</v>
          </cell>
          <cell r="I6">
            <v>1.43804067325414E-3</v>
          </cell>
          <cell r="J6">
            <v>0.6127599559051069</v>
          </cell>
        </row>
        <row r="7">
          <cell r="C7">
            <v>100</v>
          </cell>
          <cell r="H7">
            <v>9.2370368306071303E-4</v>
          </cell>
          <cell r="I7">
            <v>1.3528880611814601E-3</v>
          </cell>
          <cell r="J7">
            <v>0.68276430960153067</v>
          </cell>
        </row>
        <row r="8">
          <cell r="C8">
            <v>125</v>
          </cell>
          <cell r="H8">
            <v>9.1521585243647702E-4</v>
          </cell>
          <cell r="I8">
            <v>1.3839983411412301E-3</v>
          </cell>
          <cell r="J8">
            <v>0.66128392298635263</v>
          </cell>
        </row>
        <row r="9">
          <cell r="C9">
            <v>150</v>
          </cell>
          <cell r="H9">
            <v>8.6968861891539297E-4</v>
          </cell>
          <cell r="I9">
            <v>1.3868976700066901E-3</v>
          </cell>
          <cell r="J9">
            <v>0.62707482875156739</v>
          </cell>
        </row>
        <row r="10">
          <cell r="C10">
            <v>175</v>
          </cell>
          <cell r="H10">
            <v>8.5822792593055297E-4</v>
          </cell>
          <cell r="I10">
            <v>1.5359831005225201E-3</v>
          </cell>
          <cell r="J10">
            <v>0.55874828677385557</v>
          </cell>
        </row>
        <row r="11">
          <cell r="C11">
            <v>200</v>
          </cell>
          <cell r="H11">
            <v>8.1137719523048603E-4</v>
          </cell>
          <cell r="I11">
            <v>1.5567002920023299E-3</v>
          </cell>
          <cell r="J11">
            <v>0.52121606156239586</v>
          </cell>
        </row>
        <row r="12">
          <cell r="C12">
            <v>225</v>
          </cell>
          <cell r="H12">
            <v>7.1441349582514896E-4</v>
          </cell>
          <cell r="I12">
            <v>1.46519779189809E-3</v>
          </cell>
          <cell r="J12">
            <v>0.48758843329927642</v>
          </cell>
        </row>
        <row r="13">
          <cell r="C13">
            <v>250</v>
          </cell>
          <cell r="H13">
            <v>7.9808842215130205E-4</v>
          </cell>
          <cell r="I13">
            <v>1.48156145435643E-3</v>
          </cell>
          <cell r="J13">
            <v>0.53868060606232548</v>
          </cell>
        </row>
        <row r="14">
          <cell r="C14">
            <v>275</v>
          </cell>
          <cell r="H14">
            <v>7.8850541395586503E-4</v>
          </cell>
          <cell r="I14">
            <v>1.46945390927279E-3</v>
          </cell>
          <cell r="J14">
            <v>0.53659758157782855</v>
          </cell>
        </row>
        <row r="15">
          <cell r="C15">
            <v>300</v>
          </cell>
          <cell r="H15">
            <v>7.7585977243265901E-4</v>
          </cell>
          <cell r="I15">
            <v>1.39611897738224E-3</v>
          </cell>
          <cell r="J15">
            <v>0.55572611289004648</v>
          </cell>
        </row>
        <row r="16">
          <cell r="C16">
            <v>325</v>
          </cell>
          <cell r="H16">
            <v>6.7307110270497096E-4</v>
          </cell>
          <cell r="I16">
            <v>1.4372236376801199E-3</v>
          </cell>
          <cell r="J16">
            <v>0.46831341000722887</v>
          </cell>
        </row>
        <row r="17">
          <cell r="C17">
            <v>350</v>
          </cell>
          <cell r="H17">
            <v>6.1982290518958097E-4</v>
          </cell>
          <cell r="I17">
            <v>1.43794849549146E-3</v>
          </cell>
          <cell r="J17">
            <v>0.4310466662282913</v>
          </cell>
        </row>
        <row r="18">
          <cell r="C18">
            <v>375</v>
          </cell>
          <cell r="H18">
            <v>8.6386681160000598E-4</v>
          </cell>
          <cell r="I18">
            <v>1.4059444866437801E-3</v>
          </cell>
          <cell r="J18">
            <v>0.6144387774955451</v>
          </cell>
        </row>
        <row r="19">
          <cell r="C19">
            <v>400</v>
          </cell>
          <cell r="H19">
            <v>7.4086608786543397E-4</v>
          </cell>
          <cell r="I19">
            <v>1.50036408917029E-3</v>
          </cell>
          <cell r="J19">
            <v>0.49379086930502131</v>
          </cell>
        </row>
        <row r="20">
          <cell r="C20">
            <v>425</v>
          </cell>
          <cell r="H20">
            <v>7.1775782648781197E-4</v>
          </cell>
          <cell r="I20">
            <v>1.51787760599508E-3</v>
          </cell>
          <cell r="J20">
            <v>0.47286936947545855</v>
          </cell>
        </row>
        <row r="21">
          <cell r="C21">
            <v>450</v>
          </cell>
          <cell r="H21">
            <v>7.4380625540820897E-4</v>
          </cell>
          <cell r="I21">
            <v>1.4561282598986999E-3</v>
          </cell>
          <cell r="J21">
            <v>0.5108109470109139</v>
          </cell>
        </row>
        <row r="22">
          <cell r="C22">
            <v>475</v>
          </cell>
          <cell r="H22">
            <v>8.3446504702309598E-4</v>
          </cell>
          <cell r="I22">
            <v>1.5734555534394599E-3</v>
          </cell>
          <cell r="J22">
            <v>0.53033912854990772</v>
          </cell>
        </row>
        <row r="23">
          <cell r="C23">
            <v>500</v>
          </cell>
          <cell r="H23">
            <v>7.8748691558478898E-4</v>
          </cell>
          <cell r="I23">
            <v>1.54045036239284E-3</v>
          </cell>
          <cell r="J23">
            <v>0.51120564142135405</v>
          </cell>
        </row>
        <row r="24">
          <cell r="C24">
            <v>525</v>
          </cell>
          <cell r="H24">
            <v>7.5240593593859295E-4</v>
          </cell>
          <cell r="I24">
            <v>1.5856657622377601E-3</v>
          </cell>
          <cell r="J24">
            <v>0.47450474990187413</v>
          </cell>
        </row>
        <row r="25">
          <cell r="C25">
            <v>550</v>
          </cell>
          <cell r="H25">
            <v>8.5097300222865496E-4</v>
          </cell>
          <cell r="I25">
            <v>1.88745242363162E-3</v>
          </cell>
          <cell r="J25">
            <v>0.45085798803410898</v>
          </cell>
        </row>
        <row r="26">
          <cell r="C26">
            <v>575</v>
          </cell>
          <cell r="H26">
            <v>1.0036991728564E-3</v>
          </cell>
          <cell r="I26">
            <v>2.00101626458951E-3</v>
          </cell>
          <cell r="J26">
            <v>0.50159470995719246</v>
          </cell>
        </row>
        <row r="27">
          <cell r="C27">
            <v>600</v>
          </cell>
          <cell r="H27">
            <v>8.9867699992861804E-4</v>
          </cell>
          <cell r="I27">
            <v>1.9666120094118098E-3</v>
          </cell>
          <cell r="J27">
            <v>0.45696710669299817</v>
          </cell>
        </row>
        <row r="28">
          <cell r="C28">
            <v>625</v>
          </cell>
          <cell r="H28">
            <v>1.00817314139693E-3</v>
          </cell>
          <cell r="I28">
            <v>1.9336661060621401E-3</v>
          </cell>
          <cell r="J28">
            <v>0.52137912447048473</v>
          </cell>
        </row>
        <row r="29">
          <cell r="C29">
            <v>650</v>
          </cell>
          <cell r="H29">
            <v>9.65099178672032E-4</v>
          </cell>
          <cell r="I29">
            <v>1.94857465227349E-3</v>
          </cell>
          <cell r="J29">
            <v>0.49528468285575161</v>
          </cell>
        </row>
        <row r="30">
          <cell r="C30">
            <v>675</v>
          </cell>
          <cell r="H30">
            <v>1.0082559973243299E-3</v>
          </cell>
          <cell r="I30">
            <v>1.92326094233859E-3</v>
          </cell>
          <cell r="J30">
            <v>0.52424295379198027</v>
          </cell>
        </row>
        <row r="31">
          <cell r="C31">
            <v>700</v>
          </cell>
          <cell r="H31">
            <v>9.5506963029138203E-4</v>
          </cell>
          <cell r="I31">
            <v>1.93577807616513E-3</v>
          </cell>
          <cell r="J31">
            <v>0.49337764594556272</v>
          </cell>
        </row>
        <row r="32">
          <cell r="C32">
            <v>725</v>
          </cell>
          <cell r="H32">
            <v>9.19348887008868E-4</v>
          </cell>
          <cell r="I32">
            <v>1.90782097026229E-3</v>
          </cell>
          <cell r="J32">
            <v>0.48188425504227189</v>
          </cell>
        </row>
        <row r="33">
          <cell r="C33">
            <v>750</v>
          </cell>
          <cell r="H33">
            <v>1.01693568828653E-3</v>
          </cell>
          <cell r="I33">
            <v>1.92944314087881E-3</v>
          </cell>
          <cell r="J33">
            <v>0.52706175514627651</v>
          </cell>
        </row>
        <row r="34">
          <cell r="C34">
            <v>775</v>
          </cell>
          <cell r="H34">
            <v>9.88013273203093E-4</v>
          </cell>
          <cell r="I34">
            <v>1.8000044636062799E-3</v>
          </cell>
          <cell r="J34">
            <v>0.5488949017513125</v>
          </cell>
        </row>
        <row r="35">
          <cell r="C35">
            <v>800</v>
          </cell>
          <cell r="H35">
            <v>9.8387355453313004E-4</v>
          </cell>
          <cell r="I35">
            <v>1.8914092941214899E-3</v>
          </cell>
          <cell r="J35">
            <v>0.52018014164941151</v>
          </cell>
        </row>
        <row r="36">
          <cell r="C36">
            <v>825</v>
          </cell>
          <cell r="H36">
            <v>9.5666173376990403E-4</v>
          </cell>
          <cell r="I36">
            <v>2.02034705758779E-3</v>
          </cell>
          <cell r="J36">
            <v>0.47351356301729575</v>
          </cell>
        </row>
        <row r="37">
          <cell r="C37">
            <v>850</v>
          </cell>
          <cell r="H37">
            <v>1.12487904633052E-3</v>
          </cell>
          <cell r="I37">
            <v>1.9301147720697999E-3</v>
          </cell>
          <cell r="J37">
            <v>0.58280422626071704</v>
          </cell>
        </row>
        <row r="38">
          <cell r="C38">
            <v>875</v>
          </cell>
          <cell r="H38">
            <v>1.0119121614831699E-3</v>
          </cell>
          <cell r="I38">
            <v>1.99162072546673E-3</v>
          </cell>
          <cell r="J38">
            <v>0.50808477163543853</v>
          </cell>
        </row>
        <row r="39">
          <cell r="C39">
            <v>900</v>
          </cell>
          <cell r="H39">
            <v>8.4656475945222101E-4</v>
          </cell>
          <cell r="I39">
            <v>1.91829492652749E-3</v>
          </cell>
          <cell r="J39">
            <v>0.44131105584722474</v>
          </cell>
        </row>
        <row r="40">
          <cell r="C40">
            <v>925</v>
          </cell>
          <cell r="H40">
            <v>9.5487731793337204E-4</v>
          </cell>
          <cell r="I40">
            <v>1.8225151564515601E-3</v>
          </cell>
          <cell r="J40">
            <v>0.52393381451626431</v>
          </cell>
          <cell r="L40">
            <v>0.41237169663084161</v>
          </cell>
          <cell r="M40">
            <v>36.870961636702511</v>
          </cell>
          <cell r="N40">
            <v>9.7674052182077564E-4</v>
          </cell>
          <cell r="O40">
            <v>1.9116972528590379E-3</v>
          </cell>
        </row>
        <row r="41">
          <cell r="C41">
            <v>950</v>
          </cell>
          <cell r="H41">
            <v>8.8457864756620098E-4</v>
          </cell>
          <cell r="I41">
            <v>1.9132902295032001E-3</v>
          </cell>
          <cell r="J41">
            <v>0.46233375048169684</v>
          </cell>
          <cell r="L41">
            <v>0.82474339326168322</v>
          </cell>
          <cell r="M41">
            <v>73.741923273405021</v>
          </cell>
          <cell r="N41">
            <v>1.446258189607142E-3</v>
          </cell>
          <cell r="O41">
            <v>2.5976967878440691E-3</v>
          </cell>
        </row>
        <row r="42">
          <cell r="C42">
            <v>975</v>
          </cell>
          <cell r="H42">
            <v>9.9910903564961692E-4</v>
          </cell>
          <cell r="I42">
            <v>1.8999327623772299E-3</v>
          </cell>
          <cell r="J42">
            <v>0.52586547031249342</v>
          </cell>
          <cell r="L42">
            <v>1.2371150898925249</v>
          </cell>
          <cell r="M42">
            <v>110.61288491010751</v>
          </cell>
          <cell r="N42">
            <v>1.8890605844176177E-3</v>
          </cell>
          <cell r="O42">
            <v>3.3101540088834509E-3</v>
          </cell>
        </row>
        <row r="43">
          <cell r="C43">
            <v>1000</v>
          </cell>
          <cell r="H43">
            <v>1.03880757154199E-3</v>
          </cell>
          <cell r="I43">
            <v>1.88759527685482E-3</v>
          </cell>
          <cell r="J43">
            <v>0.55033384766298477</v>
          </cell>
          <cell r="L43">
            <v>1.6494867865233664</v>
          </cell>
          <cell r="M43">
            <v>147.48384654681004</v>
          </cell>
          <cell r="N43">
            <v>2.348041155775478E-3</v>
          </cell>
          <cell r="O43">
            <v>4.103498899640714E-3</v>
          </cell>
        </row>
        <row r="44">
          <cell r="C44">
            <v>1025</v>
          </cell>
          <cell r="H44">
            <v>1.1040478062837201E-3</v>
          </cell>
          <cell r="I44">
            <v>1.80761607566451E-3</v>
          </cell>
          <cell r="J44">
            <v>0.6107756072471604</v>
          </cell>
          <cell r="L44">
            <v>2.0618584831542077</v>
          </cell>
          <cell r="M44">
            <v>184.35480818351246</v>
          </cell>
          <cell r="N44">
            <v>2.8499279614601415E-3</v>
          </cell>
          <cell r="O44">
            <v>4.8376894269288014E-3</v>
          </cell>
        </row>
        <row r="45">
          <cell r="C45">
            <v>1050</v>
          </cell>
          <cell r="H45">
            <v>1.2256457513627899E-3</v>
          </cell>
          <cell r="I45">
            <v>2.3236478969911201E-3</v>
          </cell>
          <cell r="J45">
            <v>0.52746621075846833</v>
          </cell>
          <cell r="L45">
            <v>2.4742301797850508</v>
          </cell>
          <cell r="M45">
            <v>221.22576982021505</v>
          </cell>
          <cell r="N45">
            <v>3.2184397879212339E-3</v>
          </cell>
          <cell r="O45">
            <v>5.4105336305949134E-3</v>
          </cell>
        </row>
        <row r="46">
          <cell r="C46">
            <v>1075</v>
          </cell>
          <cell r="H46">
            <v>1.20946677725729E-3</v>
          </cell>
          <cell r="I46">
            <v>2.54400424591604E-3</v>
          </cell>
          <cell r="J46">
            <v>0.47541853721308847</v>
          </cell>
        </row>
        <row r="47">
          <cell r="C47">
            <v>1100</v>
          </cell>
          <cell r="H47">
            <v>1.3191418896374299E-3</v>
          </cell>
          <cell r="I47">
            <v>2.4098171243046502E-3</v>
          </cell>
          <cell r="J47">
            <v>0.5474033180082355</v>
          </cell>
        </row>
        <row r="48">
          <cell r="C48">
            <v>1125</v>
          </cell>
          <cell r="H48">
            <v>1.3891110196835299E-3</v>
          </cell>
          <cell r="I48">
            <v>2.4964033421242902E-3</v>
          </cell>
          <cell r="J48">
            <v>0.55644494471052874</v>
          </cell>
        </row>
        <row r="49">
          <cell r="C49">
            <v>1150</v>
          </cell>
          <cell r="H49">
            <v>1.41797128295356E-3</v>
          </cell>
          <cell r="I49">
            <v>2.5456878031096301E-3</v>
          </cell>
          <cell r="J49">
            <v>0.55700910426701489</v>
          </cell>
        </row>
        <row r="50">
          <cell r="C50">
            <v>1175</v>
          </cell>
          <cell r="H50">
            <v>1.36662506752632E-3</v>
          </cell>
          <cell r="I50">
            <v>2.5425086945975702E-3</v>
          </cell>
          <cell r="J50">
            <v>0.53751047948437014</v>
          </cell>
        </row>
        <row r="51">
          <cell r="C51">
            <v>1200</v>
          </cell>
          <cell r="H51">
            <v>1.3915370760706799E-3</v>
          </cell>
          <cell r="I51">
            <v>2.5692678951194699E-3</v>
          </cell>
          <cell r="J51">
            <v>0.54160840086548234</v>
          </cell>
        </row>
        <row r="52">
          <cell r="C52">
            <v>1225</v>
          </cell>
          <cell r="H52">
            <v>1.34473048121022E-3</v>
          </cell>
          <cell r="I52">
            <v>2.5912431951502501E-3</v>
          </cell>
          <cell r="J52">
            <v>0.51895186207416066</v>
          </cell>
        </row>
        <row r="53">
          <cell r="C53">
            <v>1250</v>
          </cell>
          <cell r="H53">
            <v>1.4606761159621901E-3</v>
          </cell>
          <cell r="I53">
            <v>2.6825775720062798E-3</v>
          </cell>
          <cell r="J53">
            <v>0.54450470741457857</v>
          </cell>
        </row>
        <row r="54">
          <cell r="C54">
            <v>1275</v>
          </cell>
          <cell r="H54">
            <v>1.43873452527537E-3</v>
          </cell>
          <cell r="I54">
            <v>2.63266371566253E-3</v>
          </cell>
          <cell r="J54">
            <v>0.54649384830880365</v>
          </cell>
        </row>
        <row r="55">
          <cell r="C55">
            <v>1300</v>
          </cell>
          <cell r="H55">
            <v>1.3616261879516099E-3</v>
          </cell>
          <cell r="I55">
            <v>2.6098725326988001E-3</v>
          </cell>
          <cell r="J55">
            <v>0.52172133730362236</v>
          </cell>
        </row>
        <row r="56">
          <cell r="C56">
            <v>1325</v>
          </cell>
          <cell r="H56">
            <v>1.37574751730693E-3</v>
          </cell>
          <cell r="I56">
            <v>2.6185654710859699E-3</v>
          </cell>
          <cell r="J56">
            <v>0.52538213479779095</v>
          </cell>
        </row>
        <row r="57">
          <cell r="C57">
            <v>1350</v>
          </cell>
          <cell r="H57">
            <v>1.4584350171719599E-3</v>
          </cell>
          <cell r="I57">
            <v>2.66092056947601E-3</v>
          </cell>
          <cell r="J57">
            <v>0.54809415730104105</v>
          </cell>
        </row>
        <row r="58">
          <cell r="C58">
            <v>1375</v>
          </cell>
          <cell r="H58">
            <v>1.3779865506845701E-3</v>
          </cell>
          <cell r="I58">
            <v>2.66510403735823E-3</v>
          </cell>
          <cell r="J58">
            <v>0.51704793935567783</v>
          </cell>
        </row>
        <row r="59">
          <cell r="C59">
            <v>1400</v>
          </cell>
          <cell r="H59">
            <v>1.5557058128609299E-3</v>
          </cell>
          <cell r="I59">
            <v>2.5790056791305501E-3</v>
          </cell>
          <cell r="J59">
            <v>0.60321922725870025</v>
          </cell>
        </row>
        <row r="60">
          <cell r="C60">
            <v>1425</v>
          </cell>
          <cell r="H60">
            <v>1.4616438755252199E-3</v>
          </cell>
          <cell r="I60">
            <v>2.4923694500764699E-3</v>
          </cell>
          <cell r="J60">
            <v>0.58644751703258691</v>
          </cell>
        </row>
        <row r="61">
          <cell r="C61">
            <v>1450</v>
          </cell>
          <cell r="H61">
            <v>1.45985881108553E-3</v>
          </cell>
          <cell r="I61">
            <v>2.5514334770056599E-3</v>
          </cell>
          <cell r="J61">
            <v>0.57217200614566188</v>
          </cell>
        </row>
        <row r="62">
          <cell r="C62">
            <v>1475</v>
          </cell>
          <cell r="H62">
            <v>1.5121674822471099E-3</v>
          </cell>
          <cell r="I62">
            <v>2.48445537394019E-3</v>
          </cell>
          <cell r="J62">
            <v>0.60865149686665831</v>
          </cell>
        </row>
        <row r="63">
          <cell r="C63">
            <v>1500</v>
          </cell>
          <cell r="H63">
            <v>1.48339742413814E-3</v>
          </cell>
          <cell r="I63">
            <v>2.52874121383712E-3</v>
          </cell>
          <cell r="J63">
            <v>0.5866149592615798</v>
          </cell>
        </row>
        <row r="64">
          <cell r="C64">
            <v>1525</v>
          </cell>
          <cell r="H64">
            <v>1.4222635559592901E-3</v>
          </cell>
          <cell r="I64">
            <v>2.6607253635052902E-3</v>
          </cell>
          <cell r="J64">
            <v>0.53453978207114661</v>
          </cell>
        </row>
        <row r="65">
          <cell r="C65">
            <v>1550</v>
          </cell>
          <cell r="H65">
            <v>1.65271080033912E-3</v>
          </cell>
          <cell r="I65">
            <v>3.1215765858827699E-3</v>
          </cell>
          <cell r="J65">
            <v>0.52944746184138225</v>
          </cell>
        </row>
        <row r="66">
          <cell r="C66">
            <v>1575</v>
          </cell>
          <cell r="H66">
            <v>1.8281742082050601E-3</v>
          </cell>
          <cell r="I66">
            <v>3.14628553635547E-3</v>
          </cell>
          <cell r="J66">
            <v>0.58105794502133556</v>
          </cell>
        </row>
        <row r="67">
          <cell r="C67">
            <v>1600</v>
          </cell>
          <cell r="H67">
            <v>1.68810062928622E-3</v>
          </cell>
          <cell r="I67">
            <v>3.1284863731361099E-3</v>
          </cell>
          <cell r="J67">
            <v>0.53959021326789602</v>
          </cell>
        </row>
        <row r="68">
          <cell r="C68">
            <v>1625</v>
          </cell>
          <cell r="H68">
            <v>1.84737313468249E-3</v>
          </cell>
          <cell r="I68">
            <v>3.32741704349131E-3</v>
          </cell>
          <cell r="J68">
            <v>0.55519735294260675</v>
          </cell>
        </row>
        <row r="69">
          <cell r="C69">
            <v>1650</v>
          </cell>
          <cell r="H69">
            <v>1.79524040004233E-3</v>
          </cell>
          <cell r="I69">
            <v>3.36915611984555E-3</v>
          </cell>
          <cell r="J69">
            <v>0.53284571453003138</v>
          </cell>
        </row>
        <row r="70">
          <cell r="C70">
            <v>1675</v>
          </cell>
          <cell r="H70">
            <v>1.81994070699294E-3</v>
          </cell>
          <cell r="I70">
            <v>3.3905909393996802E-3</v>
          </cell>
          <cell r="J70">
            <v>0.53676209826572852</v>
          </cell>
        </row>
        <row r="71">
          <cell r="C71">
            <v>1700</v>
          </cell>
          <cell r="H71">
            <v>1.7840186952030701E-3</v>
          </cell>
          <cell r="I71">
            <v>3.3398534128542801E-3</v>
          </cell>
          <cell r="J71">
            <v>0.53416077733735789</v>
          </cell>
        </row>
        <row r="72">
          <cell r="C72">
            <v>1725</v>
          </cell>
          <cell r="H72">
            <v>1.8199095843056299E-3</v>
          </cell>
          <cell r="I72">
            <v>3.2944370759486301E-3</v>
          </cell>
          <cell r="J72">
            <v>0.55241898459438288</v>
          </cell>
        </row>
        <row r="73">
          <cell r="C73">
            <v>1750</v>
          </cell>
          <cell r="H73">
            <v>1.80655915658494E-3</v>
          </cell>
          <cell r="I73">
            <v>3.2659261047886601E-3</v>
          </cell>
          <cell r="J73">
            <v>0.55315371463428853</v>
          </cell>
        </row>
        <row r="74">
          <cell r="C74">
            <v>1775</v>
          </cell>
          <cell r="H74">
            <v>1.9129555590774599E-3</v>
          </cell>
          <cell r="I74">
            <v>3.4081626157316698E-3</v>
          </cell>
          <cell r="J74">
            <v>0.56128646862314802</v>
          </cell>
        </row>
        <row r="75">
          <cell r="C75">
            <v>1800</v>
          </cell>
          <cell r="H75">
            <v>1.9332388564065699E-3</v>
          </cell>
          <cell r="I75">
            <v>3.22994471203917E-3</v>
          </cell>
          <cell r="J75">
            <v>0.59853620688945253</v>
          </cell>
        </row>
        <row r="76">
          <cell r="C76">
            <v>1825</v>
          </cell>
          <cell r="H76">
            <v>1.8796128457491399E-3</v>
          </cell>
          <cell r="I76">
            <v>3.30589832386626E-3</v>
          </cell>
          <cell r="J76">
            <v>0.5685634165393586</v>
          </cell>
        </row>
        <row r="77">
          <cell r="C77">
            <v>1850</v>
          </cell>
          <cell r="H77">
            <v>1.8682794887648099E-3</v>
          </cell>
          <cell r="I77">
            <v>3.33935672608182E-3</v>
          </cell>
          <cell r="J77">
            <v>0.55947286918248029</v>
          </cell>
        </row>
        <row r="78">
          <cell r="C78">
            <v>1875</v>
          </cell>
          <cell r="H78">
            <v>1.9330689316109299E-3</v>
          </cell>
          <cell r="I78">
            <v>3.3672244176295402E-3</v>
          </cell>
          <cell r="J78">
            <v>0.5740837829192782</v>
          </cell>
        </row>
        <row r="79">
          <cell r="C79">
            <v>1900</v>
          </cell>
          <cell r="H79">
            <v>1.8955548705332E-3</v>
          </cell>
          <cell r="I79">
            <v>3.3933289136797102E-3</v>
          </cell>
          <cell r="J79">
            <v>0.55861218253601863</v>
          </cell>
        </row>
        <row r="80">
          <cell r="C80">
            <v>1925</v>
          </cell>
          <cell r="H80">
            <v>1.9251637293442E-3</v>
          </cell>
          <cell r="I80">
            <v>3.1888384001754798E-3</v>
          </cell>
          <cell r="J80">
            <v>0.60371943878945367</v>
          </cell>
        </row>
        <row r="81">
          <cell r="C81">
            <v>1950</v>
          </cell>
          <cell r="H81">
            <v>1.93200157026986E-3</v>
          </cell>
          <cell r="I81">
            <v>3.2694186586567299E-3</v>
          </cell>
          <cell r="J81">
            <v>0.59093122416559529</v>
          </cell>
        </row>
        <row r="82">
          <cell r="C82">
            <v>1975</v>
          </cell>
          <cell r="H82">
            <v>1.8041708358350699E-3</v>
          </cell>
          <cell r="I82">
            <v>3.3334412161854701E-3</v>
          </cell>
          <cell r="J82">
            <v>0.54123373379885853</v>
          </cell>
        </row>
        <row r="83">
          <cell r="C83">
            <v>2000</v>
          </cell>
          <cell r="H83">
            <v>1.8595014147831301E-3</v>
          </cell>
          <cell r="I83">
            <v>3.32544909889469E-3</v>
          </cell>
          <cell r="J83">
            <v>0.5591730197888729</v>
          </cell>
        </row>
        <row r="84">
          <cell r="C84">
            <v>2025</v>
          </cell>
          <cell r="H84">
            <v>1.80877863192936E-3</v>
          </cell>
          <cell r="I84">
            <v>3.37043652458933E-3</v>
          </cell>
          <cell r="J84">
            <v>0.53666004944263124</v>
          </cell>
        </row>
        <row r="85">
          <cell r="C85">
            <v>2050</v>
          </cell>
          <cell r="H85">
            <v>2.26357726003251E-3</v>
          </cell>
          <cell r="I85">
            <v>3.90188453467398E-3</v>
          </cell>
          <cell r="J85">
            <v>0.58012410155075023</v>
          </cell>
        </row>
        <row r="86">
          <cell r="C86">
            <v>2075</v>
          </cell>
          <cell r="H86">
            <v>2.3148432212440301E-3</v>
          </cell>
          <cell r="I86">
            <v>4.0289879073431402E-3</v>
          </cell>
          <cell r="J86">
            <v>0.57454707596045407</v>
          </cell>
        </row>
        <row r="87">
          <cell r="C87">
            <v>2100</v>
          </cell>
          <cell r="H87">
            <v>2.2927162635862901E-3</v>
          </cell>
          <cell r="I87">
            <v>4.1136621663026797E-3</v>
          </cell>
          <cell r="J87">
            <v>0.55734189413200197</v>
          </cell>
        </row>
        <row r="88">
          <cell r="C88">
            <v>2125</v>
          </cell>
          <cell r="H88">
            <v>2.4404734233451002E-3</v>
          </cell>
          <cell r="I88">
            <v>4.05632793787642E-3</v>
          </cell>
          <cell r="J88">
            <v>0.60164598639989242</v>
          </cell>
        </row>
        <row r="89">
          <cell r="C89">
            <v>2150</v>
          </cell>
          <cell r="H89">
            <v>2.37213043664782E-3</v>
          </cell>
          <cell r="I89">
            <v>4.0978113850756101E-3</v>
          </cell>
          <cell r="J89">
            <v>0.57887740887421324</v>
          </cell>
        </row>
        <row r="90">
          <cell r="C90">
            <v>2175</v>
          </cell>
          <cell r="H90">
            <v>2.3416723750814702E-3</v>
          </cell>
          <cell r="I90">
            <v>4.1133450534131298E-3</v>
          </cell>
          <cell r="J90">
            <v>0.56928663768151933</v>
          </cell>
        </row>
        <row r="91">
          <cell r="C91">
            <v>2200</v>
          </cell>
          <cell r="H91">
            <v>2.3314267610562299E-3</v>
          </cell>
          <cell r="I91">
            <v>4.110069237758E-3</v>
          </cell>
          <cell r="J91">
            <v>0.5672475635296107</v>
          </cell>
        </row>
        <row r="92">
          <cell r="C92">
            <v>2225</v>
          </cell>
          <cell r="H92">
            <v>2.20865548129818E-3</v>
          </cell>
          <cell r="I92">
            <v>4.1938138360487001E-3</v>
          </cell>
          <cell r="J92">
            <v>0.52664604764123635</v>
          </cell>
        </row>
        <row r="93">
          <cell r="C93">
            <v>2250</v>
          </cell>
          <cell r="H93">
            <v>2.3556990422739501E-3</v>
          </cell>
          <cell r="I93">
            <v>4.1125747765196298E-3</v>
          </cell>
          <cell r="J93">
            <v>0.57280394163860526</v>
          </cell>
        </row>
        <row r="94">
          <cell r="C94">
            <v>2275</v>
          </cell>
          <cell r="H94">
            <v>2.4366625624063398E-3</v>
          </cell>
          <cell r="I94">
            <v>4.1163199891639203E-3</v>
          </cell>
          <cell r="J94">
            <v>0.59195168714307334</v>
          </cell>
        </row>
        <row r="95">
          <cell r="C95">
            <v>2300</v>
          </cell>
          <cell r="H95">
            <v>2.40764900283655E-3</v>
          </cell>
          <cell r="I95">
            <v>4.1436080363412599E-3</v>
          </cell>
          <cell r="J95">
            <v>0.58105134021374905</v>
          </cell>
        </row>
        <row r="96">
          <cell r="C96">
            <v>2325</v>
          </cell>
          <cell r="H96">
            <v>2.3426038203449699E-3</v>
          </cell>
          <cell r="I96">
            <v>4.1630528650422804E-3</v>
          </cell>
          <cell r="J96">
            <v>0.56271296480910249</v>
          </cell>
        </row>
        <row r="97">
          <cell r="C97">
            <v>2350</v>
          </cell>
          <cell r="H97">
            <v>2.33876972380038E-3</v>
          </cell>
          <cell r="I97">
            <v>4.1094526760314699E-3</v>
          </cell>
          <cell r="J97">
            <v>0.5691195174095417</v>
          </cell>
        </row>
        <row r="98">
          <cell r="C98">
            <v>2375</v>
          </cell>
          <cell r="H98">
            <v>2.33452145428559E-3</v>
          </cell>
          <cell r="I98">
            <v>4.1457849853199103E-3</v>
          </cell>
          <cell r="J98">
            <v>0.56310721915199524</v>
          </cell>
        </row>
        <row r="99">
          <cell r="C99">
            <v>2400</v>
          </cell>
          <cell r="H99">
            <v>2.3073238213803002E-3</v>
          </cell>
          <cell r="I99">
            <v>4.0573833458770704E-3</v>
          </cell>
          <cell r="J99">
            <v>0.56867286738505951</v>
          </cell>
        </row>
        <row r="100">
          <cell r="C100">
            <v>2425</v>
          </cell>
          <cell r="H100">
            <v>2.3917884510278801E-3</v>
          </cell>
          <cell r="I100">
            <v>3.9904566151042296E-3</v>
          </cell>
          <cell r="J100">
            <v>0.59937713442986706</v>
          </cell>
        </row>
        <row r="101">
          <cell r="C101">
            <v>2450</v>
          </cell>
          <cell r="H101">
            <v>2.3059840333974099E-3</v>
          </cell>
          <cell r="I101">
            <v>4.00181587922836E-3</v>
          </cell>
          <cell r="J101">
            <v>0.57623441532298969</v>
          </cell>
        </row>
        <row r="102">
          <cell r="C102">
            <v>2475</v>
          </cell>
          <cell r="H102">
            <v>2.2594096460014099E-3</v>
          </cell>
          <cell r="I102">
            <v>4.1945398277789996E-3</v>
          </cell>
          <cell r="J102">
            <v>0.53865495114341611</v>
          </cell>
        </row>
        <row r="103">
          <cell r="C103">
            <v>2500</v>
          </cell>
          <cell r="H103">
            <v>2.3656417529900101E-3</v>
          </cell>
          <cell r="I103">
            <v>4.0673058262128397E-3</v>
          </cell>
          <cell r="J103">
            <v>0.58162377113223196</v>
          </cell>
        </row>
        <row r="104">
          <cell r="C104">
            <v>2525</v>
          </cell>
          <cell r="H104">
            <v>2.4697031072147902E-3</v>
          </cell>
          <cell r="I104">
            <v>4.1003137151199298E-3</v>
          </cell>
          <cell r="J104">
            <v>0.60232052442908113</v>
          </cell>
        </row>
        <row r="105">
          <cell r="C105">
            <v>2550</v>
          </cell>
          <cell r="H105">
            <v>2.5686107006673699E-3</v>
          </cell>
          <cell r="I105">
            <v>4.6729208437913802E-3</v>
          </cell>
          <cell r="J105">
            <v>0.54967990824841884</v>
          </cell>
        </row>
        <row r="106">
          <cell r="C106">
            <v>2575</v>
          </cell>
          <cell r="H106">
            <v>2.9004408300008001E-3</v>
          </cell>
          <cell r="I106">
            <v>4.8396914326579096E-3</v>
          </cell>
          <cell r="J106">
            <v>0.59930284200121153</v>
          </cell>
        </row>
        <row r="107">
          <cell r="C107">
            <v>2600</v>
          </cell>
          <cell r="H107">
            <v>2.8225147331904202E-3</v>
          </cell>
          <cell r="I107">
            <v>4.7816138490104597E-3</v>
          </cell>
          <cell r="J107">
            <v>0.59028495865983222</v>
          </cell>
        </row>
        <row r="108">
          <cell r="C108">
            <v>2625</v>
          </cell>
          <cell r="H108">
            <v>2.7392170674153901E-3</v>
          </cell>
          <cell r="I108">
            <v>4.8973286623835597E-3</v>
          </cell>
          <cell r="J108">
            <v>0.55932882112963933</v>
          </cell>
        </row>
        <row r="109">
          <cell r="C109">
            <v>2650</v>
          </cell>
          <cell r="H109">
            <v>2.8670379662542001E-3</v>
          </cell>
          <cell r="I109">
            <v>4.72669049515479E-3</v>
          </cell>
          <cell r="J109">
            <v>0.60656350763671274</v>
          </cell>
        </row>
        <row r="110">
          <cell r="C110">
            <v>2675</v>
          </cell>
          <cell r="H110">
            <v>3.0224632237875301E-3</v>
          </cell>
          <cell r="I110">
            <v>4.78374999650051E-3</v>
          </cell>
          <cell r="J110">
            <v>0.63181880867490436</v>
          </cell>
        </row>
        <row r="111">
          <cell r="C111">
            <v>2700</v>
          </cell>
          <cell r="H111">
            <v>2.86166419653551E-3</v>
          </cell>
          <cell r="I111">
            <v>4.9198838789540596E-3</v>
          </cell>
          <cell r="J111">
            <v>0.58165279241181689</v>
          </cell>
        </row>
        <row r="112">
          <cell r="C112">
            <v>2725</v>
          </cell>
          <cell r="H112">
            <v>2.8403464129515099E-3</v>
          </cell>
          <cell r="I112">
            <v>4.8422088944114899E-3</v>
          </cell>
          <cell r="J112">
            <v>0.5865807268723211</v>
          </cell>
        </row>
        <row r="113">
          <cell r="C113">
            <v>2750</v>
          </cell>
          <cell r="H113">
            <v>2.8195799231291799E-3</v>
          </cell>
          <cell r="I113">
            <v>4.7471106694499197E-3</v>
          </cell>
          <cell r="J113">
            <v>0.59395706556297834</v>
          </cell>
        </row>
        <row r="114">
          <cell r="C114">
            <v>2775</v>
          </cell>
          <cell r="H114">
            <v>2.7968719163515201E-3</v>
          </cell>
          <cell r="I114">
            <v>4.8115811328685396E-3</v>
          </cell>
          <cell r="J114">
            <v>0.58127917603752377</v>
          </cell>
        </row>
        <row r="115">
          <cell r="C115">
            <v>2800</v>
          </cell>
          <cell r="H115">
            <v>2.8692180236403299E-3</v>
          </cell>
          <cell r="I115">
            <v>4.8832876461693603E-3</v>
          </cell>
          <cell r="J115">
            <v>0.5875586759446898</v>
          </cell>
        </row>
        <row r="116">
          <cell r="C116">
            <v>2825</v>
          </cell>
          <cell r="H116">
            <v>2.7547525314758499E-3</v>
          </cell>
          <cell r="I116">
            <v>4.8458646995822698E-3</v>
          </cell>
          <cell r="J116">
            <v>0.56847491670853278</v>
          </cell>
        </row>
        <row r="117">
          <cell r="C117">
            <v>2850</v>
          </cell>
          <cell r="H117">
            <v>2.9038195703362901E-3</v>
          </cell>
          <cell r="I117">
            <v>4.8701032285635602E-3</v>
          </cell>
          <cell r="J117">
            <v>0.59625421352573127</v>
          </cell>
        </row>
        <row r="118">
          <cell r="C118">
            <v>2875</v>
          </cell>
          <cell r="H118">
            <v>2.8163427241431E-3</v>
          </cell>
          <cell r="I118">
            <v>4.8594418212885302E-3</v>
          </cell>
          <cell r="J118">
            <v>0.57956095117861051</v>
          </cell>
        </row>
        <row r="119">
          <cell r="C119">
            <v>2900</v>
          </cell>
          <cell r="H119">
            <v>2.8490924105418298E-3</v>
          </cell>
          <cell r="I119">
            <v>4.8428574123041404E-3</v>
          </cell>
          <cell r="J119">
            <v>0.58830813463621789</v>
          </cell>
        </row>
        <row r="120">
          <cell r="C120">
            <v>2925</v>
          </cell>
          <cell r="H120">
            <v>2.9440042857048002E-3</v>
          </cell>
          <cell r="I120">
            <v>4.9311994564596702E-3</v>
          </cell>
          <cell r="J120">
            <v>0.59701586027883635</v>
          </cell>
        </row>
        <row r="121">
          <cell r="C121">
            <v>2950</v>
          </cell>
          <cell r="H121">
            <v>2.9166088376579098E-3</v>
          </cell>
          <cell r="I121">
            <v>4.7612078536187E-3</v>
          </cell>
          <cell r="J121">
            <v>0.61257750707967429</v>
          </cell>
        </row>
        <row r="122">
          <cell r="C122">
            <v>2975</v>
          </cell>
          <cell r="H122">
            <v>2.8289893916206002E-3</v>
          </cell>
          <cell r="I122">
            <v>4.8242403489833201E-3</v>
          </cell>
          <cell r="J122">
            <v>0.58641136986816855</v>
          </cell>
        </row>
        <row r="123">
          <cell r="C123">
            <v>3000</v>
          </cell>
          <cell r="H123">
            <v>2.9631354467021401E-3</v>
          </cell>
          <cell r="I123">
            <v>4.8169932356049898E-3</v>
          </cell>
          <cell r="J123">
            <v>0.61514212326478079</v>
          </cell>
        </row>
        <row r="124">
          <cell r="C124">
            <v>3025</v>
          </cell>
          <cell r="H124">
            <v>2.97312460753531E-3</v>
          </cell>
          <cell r="I124">
            <v>4.6647025881902298E-3</v>
          </cell>
          <cell r="J124">
            <v>0.63736638109843502</v>
          </cell>
        </row>
        <row r="125">
          <cell r="C125">
            <v>3050</v>
          </cell>
          <cell r="H125">
            <v>3.1757817847520302E-3</v>
          </cell>
          <cell r="I125">
            <v>5.4782389467378199E-3</v>
          </cell>
          <cell r="J125">
            <v>0.57970851867334916</v>
          </cell>
        </row>
        <row r="126">
          <cell r="C126">
            <v>3075</v>
          </cell>
          <cell r="H126">
            <v>3.2405463455117299E-3</v>
          </cell>
          <cell r="I126">
            <v>5.5426789805243402E-3</v>
          </cell>
          <cell r="J126">
            <v>0.58465344229717098</v>
          </cell>
        </row>
        <row r="127">
          <cell r="C127">
            <v>3100</v>
          </cell>
          <cell r="H127">
            <v>3.3587102831407899E-3</v>
          </cell>
          <cell r="I127">
            <v>5.5727268753721698E-3</v>
          </cell>
          <cell r="J127">
            <v>0.60270498774739989</v>
          </cell>
        </row>
        <row r="128">
          <cell r="C128">
            <v>3125</v>
          </cell>
          <cell r="H128">
            <v>3.2135046474869502E-3</v>
          </cell>
          <cell r="I128">
            <v>5.4424198015069298E-3</v>
          </cell>
          <cell r="J128">
            <v>0.59045512192888461</v>
          </cell>
        </row>
        <row r="129">
          <cell r="C129">
            <v>3150</v>
          </cell>
          <cell r="H129">
            <v>3.2514640107392202E-3</v>
          </cell>
          <cell r="I129">
            <v>5.5438292002519497E-3</v>
          </cell>
          <cell r="J129">
            <v>0.58650147637871874</v>
          </cell>
        </row>
        <row r="130">
          <cell r="C130">
            <v>3175</v>
          </cell>
          <cell r="H130">
            <v>3.3363646697237999E-3</v>
          </cell>
          <cell r="I130">
            <v>5.5532696397292197E-3</v>
          </cell>
          <cell r="J130">
            <v>0.60079284568765923</v>
          </cell>
        </row>
        <row r="131">
          <cell r="C131">
            <v>3200</v>
          </cell>
          <cell r="H131">
            <v>3.2317079462547602E-3</v>
          </cell>
          <cell r="I131">
            <v>5.5917191154324399E-3</v>
          </cell>
          <cell r="J131">
            <v>0.57794532943109633</v>
          </cell>
        </row>
        <row r="132">
          <cell r="C132">
            <v>3225</v>
          </cell>
          <cell r="H132">
            <v>3.2922107587362399E-3</v>
          </cell>
          <cell r="I132">
            <v>5.5880916609321899E-3</v>
          </cell>
          <cell r="J132">
            <v>0.58914759429465813</v>
          </cell>
        </row>
        <row r="133">
          <cell r="C133">
            <v>3250</v>
          </cell>
          <cell r="H133">
            <v>3.2967355357615101E-3</v>
          </cell>
          <cell r="I133">
            <v>5.6580701481648904E-3</v>
          </cell>
          <cell r="J133">
            <v>0.58266077468671129</v>
          </cell>
        </row>
        <row r="134">
          <cell r="C134">
            <v>3275</v>
          </cell>
          <cell r="H134">
            <v>3.2821420438277201E-3</v>
          </cell>
          <cell r="I134">
            <v>5.5676317225284199E-3</v>
          </cell>
          <cell r="J134">
            <v>0.58950415677587353</v>
          </cell>
        </row>
        <row r="135">
          <cell r="C135">
            <v>3300</v>
          </cell>
          <cell r="H135">
            <v>3.2526617244496799E-3</v>
          </cell>
          <cell r="I135">
            <v>5.5558349216511304E-3</v>
          </cell>
          <cell r="J135">
            <v>0.58544967053899188</v>
          </cell>
        </row>
        <row r="136">
          <cell r="C136">
            <v>3325</v>
          </cell>
          <cell r="H136">
            <v>3.26093976753193E-3</v>
          </cell>
          <cell r="I136">
            <v>5.4962928424682504E-3</v>
          </cell>
          <cell r="J136">
            <v>0.59329803942315451</v>
          </cell>
        </row>
        <row r="137">
          <cell r="C137">
            <v>3350</v>
          </cell>
          <cell r="H137">
            <v>3.3081363084578401E-3</v>
          </cell>
          <cell r="I137">
            <v>5.4963948273737302E-3</v>
          </cell>
          <cell r="J137">
            <v>0.60187384865117544</v>
          </cell>
        </row>
        <row r="138">
          <cell r="C138">
            <v>3375</v>
          </cell>
          <cell r="H138">
            <v>3.1457107073732302E-3</v>
          </cell>
          <cell r="I138">
            <v>5.3656275533876304E-3</v>
          </cell>
          <cell r="J138">
            <v>0.58627079052238007</v>
          </cell>
        </row>
        <row r="139">
          <cell r="C139">
            <v>3400</v>
          </cell>
          <cell r="H139">
            <v>3.2797069961586502E-3</v>
          </cell>
          <cell r="I139">
            <v>5.4286301384940403E-3</v>
          </cell>
          <cell r="J139">
            <v>0.60415001805012924</v>
          </cell>
        </row>
        <row r="140">
          <cell r="C140">
            <v>3425</v>
          </cell>
          <cell r="H140">
            <v>3.2233723871744201E-3</v>
          </cell>
          <cell r="I140">
            <v>5.45394539058504E-3</v>
          </cell>
          <cell r="J140">
            <v>0.59101662307415437</v>
          </cell>
        </row>
        <row r="141">
          <cell r="C141">
            <v>3450</v>
          </cell>
          <cell r="H141">
            <v>3.2322728375847902E-3</v>
          </cell>
          <cell r="I141">
            <v>5.4998774789957001E-3</v>
          </cell>
          <cell r="J141">
            <v>0.5876990623752979</v>
          </cell>
        </row>
        <row r="142">
          <cell r="C142">
            <v>3475</v>
          </cell>
          <cell r="H142">
            <v>3.2366097575997899E-3</v>
          </cell>
          <cell r="I142">
            <v>5.2828148930147596E-3</v>
          </cell>
          <cell r="J142">
            <v>0.61266764464517209</v>
          </cell>
        </row>
        <row r="143">
          <cell r="C143">
            <v>3500</v>
          </cell>
          <cell r="H143">
            <v>3.1161832761809499E-3</v>
          </cell>
          <cell r="I143">
            <v>5.4255141293068701E-3</v>
          </cell>
          <cell r="J143">
            <v>0.57435723175953723</v>
          </cell>
        </row>
        <row r="144">
          <cell r="C144">
            <v>3525</v>
          </cell>
          <cell r="H144">
            <v>3.16758786358171E-3</v>
          </cell>
          <cell r="I144">
            <v>5.2765766436013196E-3</v>
          </cell>
          <cell r="J144">
            <v>0.6003111633795577</v>
          </cell>
        </row>
        <row r="145">
          <cell r="C145">
            <v>3550</v>
          </cell>
          <cell r="H145">
            <v>3.2784591461180201E-3</v>
          </cell>
          <cell r="I145">
            <v>5.4133774336172997E-3</v>
          </cell>
          <cell r="J145">
            <v>0.60562175579309363</v>
          </cell>
        </row>
        <row r="146">
          <cell r="C146">
            <v>3575</v>
          </cell>
          <cell r="H146">
            <v>3.11361190193597E-3</v>
          </cell>
          <cell r="I146">
            <v>5.3933128553032197E-3</v>
          </cell>
          <cell r="J146">
            <v>0.57730971398671405</v>
          </cell>
        </row>
        <row r="147">
          <cell r="C147">
            <v>3600</v>
          </cell>
          <cell r="H147">
            <v>3.2450047691159798E-3</v>
          </cell>
          <cell r="I147">
            <v>5.3971284904149597E-3</v>
          </cell>
          <cell r="J147">
            <v>0.60124652857143424</v>
          </cell>
        </row>
        <row r="148">
          <cell r="C148">
            <v>3625</v>
          </cell>
          <cell r="H148">
            <v>3.1591787391334102E-3</v>
          </cell>
          <cell r="I148">
            <v>5.2492384393218799E-3</v>
          </cell>
          <cell r="J148">
            <v>0.60183563304499599</v>
          </cell>
        </row>
        <row r="149">
          <cell r="C149">
            <v>3650</v>
          </cell>
          <cell r="H149">
            <v>3.20027392053116E-3</v>
          </cell>
          <cell r="I149">
            <v>5.4351171078140803E-3</v>
          </cell>
          <cell r="J149">
            <v>0.58881416113925478</v>
          </cell>
        </row>
        <row r="150">
          <cell r="C150">
            <v>3675</v>
          </cell>
          <cell r="H150">
            <v>3.1415946286269801E-3</v>
          </cell>
          <cell r="I150">
            <v>5.2420968203439004E-3</v>
          </cell>
          <cell r="J150">
            <v>0.59930114538038615</v>
          </cell>
        </row>
        <row r="151">
          <cell r="C151">
            <v>3700</v>
          </cell>
          <cell r="H151">
            <v>3.2618524240027999E-3</v>
          </cell>
          <cell r="I151">
            <v>5.2913761656226497E-3</v>
          </cell>
          <cell r="J151">
            <v>0.61644689810461994</v>
          </cell>
        </row>
        <row r="152">
          <cell r="C152">
            <v>3725</v>
          </cell>
          <cell r="H152">
            <v>3.16676102327813E-3</v>
          </cell>
          <cell r="I152">
            <v>5.2818146098885001E-3</v>
          </cell>
          <cell r="J152">
            <v>0.59955929110979922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2" sqref="C22"/>
    </sheetView>
  </sheetViews>
  <sheetFormatPr baseColWidth="10" defaultColWidth="14.42578125" defaultRowHeight="15"/>
  <cols>
    <col min="1" max="1" width="12.140625" style="3" customWidth="1"/>
    <col min="2" max="3" width="12.140625" customWidth="1"/>
    <col min="4" max="4" width="14" customWidth="1"/>
    <col min="5" max="5" width="13.7109375" customWidth="1"/>
    <col min="6" max="6" width="12.140625" customWidth="1"/>
    <col min="7" max="7" width="13.42578125" customWidth="1"/>
    <col min="8" max="22" width="12.140625" customWidth="1"/>
  </cols>
  <sheetData>
    <row r="1" spans="1:14" ht="15.75" thickBot="1"/>
    <row r="2" spans="1:14" ht="15.75" thickBot="1">
      <c r="A2" s="3" t="s">
        <v>4</v>
      </c>
      <c r="B2" s="1" t="s">
        <v>0</v>
      </c>
      <c r="C2" s="1" t="s">
        <v>1</v>
      </c>
      <c r="D2" s="4" t="s">
        <v>2</v>
      </c>
      <c r="E2" s="5" t="s">
        <v>3</v>
      </c>
    </row>
    <row r="3" spans="1:14">
      <c r="A3" s="3">
        <v>0.53194444444444444</v>
      </c>
      <c r="B3" s="1">
        <v>0</v>
      </c>
      <c r="C3" s="1">
        <v>120</v>
      </c>
      <c r="D3" s="1">
        <f t="shared" ref="D3:D9" si="0">4.9484603595701*B3/(C3+B3)</f>
        <v>0</v>
      </c>
      <c r="E3" s="1">
        <f t="shared" ref="E3:E9" si="1">442.45153964043*B3/(C3+B3)</f>
        <v>0</v>
      </c>
    </row>
    <row r="4" spans="1:14" ht="15.75" customHeight="1">
      <c r="A4" s="3">
        <v>0.53868055555555561</v>
      </c>
      <c r="B4" s="2">
        <v>10</v>
      </c>
      <c r="C4" s="2">
        <v>110</v>
      </c>
      <c r="D4" s="1">
        <f t="shared" si="0"/>
        <v>0.41237169663084161</v>
      </c>
      <c r="E4" s="1">
        <f t="shared" si="1"/>
        <v>36.870961636702503</v>
      </c>
    </row>
    <row r="5" spans="1:14" ht="15.75" customHeight="1">
      <c r="A5" s="3">
        <v>0.54531249999999998</v>
      </c>
      <c r="B5" s="1">
        <v>20</v>
      </c>
      <c r="C5" s="1">
        <v>100</v>
      </c>
      <c r="D5" s="1">
        <f t="shared" si="0"/>
        <v>0.82474339326168322</v>
      </c>
      <c r="E5" s="1">
        <f t="shared" si="1"/>
        <v>73.741923273405007</v>
      </c>
      <c r="G5" s="1"/>
      <c r="H5" s="1"/>
      <c r="I5" s="1"/>
      <c r="J5" s="1"/>
      <c r="L5" s="1"/>
      <c r="M5" s="1"/>
      <c r="N5" s="1"/>
    </row>
    <row r="6" spans="1:14" ht="15.75" customHeight="1">
      <c r="A6" s="3">
        <v>0.55181712962962959</v>
      </c>
      <c r="B6" s="2">
        <v>30</v>
      </c>
      <c r="C6" s="2">
        <v>90</v>
      </c>
      <c r="D6" s="1">
        <f t="shared" si="0"/>
        <v>1.2371150898925249</v>
      </c>
      <c r="E6" s="1">
        <f t="shared" si="1"/>
        <v>110.6128849101075</v>
      </c>
    </row>
    <row r="7" spans="1:14" ht="15.75" customHeight="1">
      <c r="A7" s="3">
        <v>0.55835648148148154</v>
      </c>
      <c r="B7" s="1">
        <v>40</v>
      </c>
      <c r="C7" s="1">
        <v>80</v>
      </c>
      <c r="D7" s="1">
        <f t="shared" si="0"/>
        <v>1.6494867865233664</v>
      </c>
      <c r="E7" s="1">
        <f t="shared" si="1"/>
        <v>147.48384654681001</v>
      </c>
    </row>
    <row r="8" spans="1:14" ht="15.75" customHeight="1">
      <c r="A8" s="3">
        <v>0.5649305555555556</v>
      </c>
      <c r="B8" s="2">
        <v>50</v>
      </c>
      <c r="C8" s="2">
        <v>70</v>
      </c>
      <c r="D8" s="1">
        <f t="shared" si="0"/>
        <v>2.0618584831542082</v>
      </c>
      <c r="E8" s="1">
        <f t="shared" si="1"/>
        <v>184.35480818351249</v>
      </c>
    </row>
    <row r="9" spans="1:14" ht="15.75" customHeight="1">
      <c r="A9" s="3">
        <v>0.57162037037037039</v>
      </c>
      <c r="B9" s="1">
        <v>60</v>
      </c>
      <c r="C9" s="1">
        <v>60</v>
      </c>
      <c r="D9" s="1">
        <f t="shared" si="0"/>
        <v>2.4742301797850499</v>
      </c>
      <c r="E9" s="1">
        <f t="shared" si="1"/>
        <v>221.22576982021499</v>
      </c>
    </row>
    <row r="10" spans="1:14" ht="15.75" customHeight="1"/>
    <row r="11" spans="1:14" ht="15.75" customHeight="1">
      <c r="A11" s="3" t="s">
        <v>6</v>
      </c>
    </row>
    <row r="12" spans="1:14" ht="15.75" customHeight="1"/>
    <row r="13" spans="1:14" ht="15.75" customHeight="1"/>
    <row r="14" spans="1:14" ht="15.75" customHeight="1">
      <c r="A14" s="3" t="s">
        <v>5</v>
      </c>
    </row>
    <row r="15" spans="1:14" ht="15.75" customHeight="1">
      <c r="A15" s="3" t="s">
        <v>7</v>
      </c>
    </row>
    <row r="16" spans="1:14" ht="15.75" customHeight="1"/>
    <row r="17" ht="15.75" customHeight="1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Ruiz</dc:creator>
  <cp:lastModifiedBy>Marta Ruiz Llata</cp:lastModifiedBy>
  <dcterms:created xsi:type="dcterms:W3CDTF">2015-06-05T18:17:20Z</dcterms:created>
  <dcterms:modified xsi:type="dcterms:W3CDTF">2026-07-20T18:03:59Z</dcterms:modified>
</cp:coreProperties>
</file>